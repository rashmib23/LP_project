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<sst xmlns="http://schemas.openxmlformats.org/spreadsheetml/2006/main" count="605" uniqueCount="351">
  <si>
    <t xml:space="preserve">Lesson Plan Analyzer — Test Case Document</t>
  </si>
  <si>
    <t xml:space="preserve">Project</t>
  </si>
  <si>
    <t xml:space="preserve">Lesson Plan Analyzer</t>
  </si>
  <si>
    <t xml:space="preserve">Module under test</t>
  </si>
  <si>
    <t xml:space="preserve">Web application (React frontend + Flask API)</t>
  </si>
  <si>
    <t xml:space="preserve">Document type</t>
  </si>
  <si>
    <t xml:space="preserve">System / functional test cases</t>
  </si>
  <si>
    <t xml:space="preserve">Total test cases</t>
  </si>
  <si>
    <t xml:space="preserve">Test environment</t>
  </si>
  <si>
    <t xml:space="preserve">localhost — frontend on :3000, backend on :5000, SQLite DB</t>
  </si>
  <si>
    <t xml:space="preserve">Browser</t>
  </si>
  <si>
    <t xml:space="preserve">Chromium-based (Chrome / Edge / Opera). Firefox secondary.</t>
  </si>
  <si>
    <t xml:space="preserve">Pre-requisites</t>
  </si>
  <si>
    <t xml:space="preserve">Backend running, frontend running, two registered users (e.g. teacher_a@…, teacher_b@…) for ownership tests</t>
  </si>
  <si>
    <t xml:space="preserve">Author</t>
  </si>
  <si>
    <t xml:space="preserve">QA — Vamsi</t>
  </si>
  <si>
    <t xml:space="preserve">Date</t>
  </si>
  <si>
    <t xml:space="preserve">30 April 2026</t>
  </si>
  <si>
    <t xml:space="preserve">Document version</t>
  </si>
  <si>
    <t xml:space="preserve">1.0</t>
  </si>
  <si>
    <t xml:space="preserve">Modules covered</t>
  </si>
  <si>
    <t xml:space="preserve">Authentication</t>
  </si>
  <si>
    <t xml:space="preserve">Register, Login, Logout, password show/hide</t>
  </si>
  <si>
    <t xml:space="preserve">Lesson plan upload</t>
  </si>
  <si>
    <t xml:space="preserve">PDF / DOCX / TXT extraction, validation, error handling</t>
  </si>
  <si>
    <t xml:space="preserve">Classification</t>
  </si>
  <si>
    <t xml:space="preserve">Bloom's level + Teaching strategy (deep-learning + fallback)</t>
  </si>
  <si>
    <t xml:space="preserve">Recommendations</t>
  </si>
  <si>
    <t xml:space="preserve">Severity-tagged suggestions, missing-section detection</t>
  </si>
  <si>
    <t xml:space="preserve">History</t>
  </si>
  <si>
    <t xml:space="preserve">Listing, filtering, opening, deleting</t>
  </si>
  <si>
    <t xml:space="preserve">Performance — single</t>
  </si>
  <si>
    <t xml:space="preserve">Single-record entry, ownership of linked plan</t>
  </si>
  <si>
    <t xml:space="preserve">Performance — bulk</t>
  </si>
  <si>
    <t xml:space="preserve">CSV import with strict and forgiving modes</t>
  </si>
  <si>
    <t xml:space="preserve">Analytics</t>
  </si>
  <si>
    <t xml:space="preserve">Overall + per-lesson aggregates and chart</t>
  </si>
  <si>
    <t xml:space="preserve">Cross-cutting</t>
  </si>
  <si>
    <t xml:space="preserve">Auth-required routes, network errors, expired token, responsive layout</t>
  </si>
  <si>
    <t xml:space="preserve">TC ID</t>
  </si>
  <si>
    <t xml:space="preserve">Module</t>
  </si>
  <si>
    <t xml:space="preserve">Test scenario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</si>
  <si>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</si>
  <si>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</si>
  <si>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</si>
  <si>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</si>
  <si>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Type</t>
  </si>
  <si>
    <t xml:space="preserve">Priority</t>
  </si>
  <si>
    <t xml:space="preserve">Status</t>
  </si>
  <si>
    <t xml:space="preserve">TC-01</t>
  </si>
  <si>
    <t xml:space="preserve">Auth · Register</t>
  </si>
  <si>
    <t xml:space="preserve">Register a new teacher with valid details</t>
  </si>
  <si>
    <t xml:space="preserve">Backend up. Email not previously registered.</t>
  </si>
  <si>
    <t xml:space="preserve">1. Open /register
2. Enter name, email, password (≥6 chars)
3. Click Create account</t>
  </si>
  <si>
    <t xml:space="preserve">name=Vamsi K; email=vamsi.test@school.edu; password=Pass1234</t>
  </si>
  <si>
    <t xml:space="preserve">201 from /api/auth/register. JWT stored. Redirected to /. Navbar shows the user's first name and avatar initials.</t>
  </si>
  <si>
    <t xml:space="preserve">Positive</t>
  </si>
  <si>
    <t xml:space="preserve">P0</t>
  </si>
  <si>
    <t xml:space="preserve">Not run</t>
  </si>
  <si>
    <t xml:space="preserve">TC-02</t>
  </si>
  <si>
    <t xml:space="preserve">Register with an email that already exists</t>
  </si>
  <si>
    <t xml:space="preserve">A user with the same email already exists in DB.</t>
  </si>
  <si>
    <t xml:space="preserve">1. Open /register
2. Submit form with the duplicate email</t>
  </si>
  <si>
    <t xml:space="preserve">email=existing@school.edu</t>
  </si>
  <si>
    <t xml:space="preserve">409 response. Inline alert: 'A user with this email already exists.' No JWT stored.</t>
  </si>
  <si>
    <t xml:space="preserve">Negative</t>
  </si>
  <si>
    <t xml:space="preserve">P1</t>
  </si>
  <si>
    <t xml:space="preserve">TC-03</t>
  </si>
  <si>
    <t xml:space="preserve">Register with malformed email</t>
  </si>
  <si>
    <t xml:space="preserve">Backend up.</t>
  </si>
  <si>
    <t xml:space="preserve">1. Open /register
2. Enter 'not-an-email' in the email field
3. Submit</t>
  </si>
  <si>
    <t xml:space="preserve">email=not-an-email</t>
  </si>
  <si>
    <t xml:space="preserve">HTML5 validation blocks submit OR backend returns 400 'Invalid email format'.</t>
  </si>
  <si>
    <t xml:space="preserve">P2</t>
  </si>
  <si>
    <t xml:space="preserve">TC-04</t>
  </si>
  <si>
    <t xml:space="preserve">Register with password shorter than 6 chars</t>
  </si>
  <si>
    <t xml:space="preserve">1. Open /register
2. Enter password '12345'
3. Submit</t>
  </si>
  <si>
    <t xml:space="preserve">password=12345</t>
  </si>
  <si>
    <t xml:space="preserve">Browser blocks submit (minLength=6) or backend returns 400 'Password must be at least 6 characters'.</t>
  </si>
  <si>
    <t xml:space="preserve">TC-05</t>
  </si>
  <si>
    <t xml:space="preserve">Register with empty required fields</t>
  </si>
  <si>
    <t xml:space="preserve">1. Open /register
2. Leave name blank
3. Submit</t>
  </si>
  <si>
    <t xml:space="preserve">name=''</t>
  </si>
  <si>
    <t xml:space="preserve">Native required-field validation prevents submit; no API call made.</t>
  </si>
  <si>
    <t xml:space="preserve">TC-06</t>
  </si>
  <si>
    <t xml:space="preserve">Password show/hide toggle on Register</t>
  </si>
  <si>
    <t xml:space="preserve">On /register page.</t>
  </si>
  <si>
    <t xml:space="preserve">1. Type a password
2. Click the eye icon
3. Click the slashed-eye icon</t>
  </si>
  <si>
    <t xml:space="preserve">password=Pass1234</t>
  </si>
  <si>
    <t xml:space="preserve">Field type flips from password to text on first click (chars visible) and back to password on second click. Aria-label and tooltip update accordingly.</t>
  </si>
  <si>
    <t xml:space="preserve">TC-07</t>
  </si>
  <si>
    <t xml:space="preserve">Auth · Login</t>
  </si>
  <si>
    <t xml:space="preserve">Login with valid credentials</t>
  </si>
  <si>
    <t xml:space="preserve">A user exists in DB.</t>
  </si>
  <si>
    <t xml:space="preserve">1. Open /login
2. Enter correct email and password
3. Click Sign in</t>
  </si>
  <si>
    <t xml:space="preserve">email=vamsi.test@school.edu; password=Pass1234</t>
  </si>
  <si>
    <t xml:space="preserve">200 from /api/auth/login. JWT stored, user object cached, redirected to /.</t>
  </si>
  <si>
    <t xml:space="preserve">TC-08</t>
  </si>
  <si>
    <t xml:space="preserve">Login with wrong password</t>
  </si>
  <si>
    <t xml:space="preserve">1. Open /login
2. Enter correct email and a wrong password</t>
  </si>
  <si>
    <t xml:space="preserve">password=WrongPwd1</t>
  </si>
  <si>
    <t xml:space="preserve">401 response. Alert: 'Invalid email or password.' No JWT stored.</t>
  </si>
  <si>
    <t xml:space="preserve">TC-09</t>
  </si>
  <si>
    <t xml:space="preserve">Login with non-existent email</t>
  </si>
  <si>
    <t xml:space="preserve">1. Open /login
2. Enter an email not present in DB</t>
  </si>
  <si>
    <t xml:space="preserve">email=ghost@nowhere.com</t>
  </si>
  <si>
    <t xml:space="preserve">401 response. Same alert 'Invalid email or password.' (no email-enumeration leak).</t>
  </si>
  <si>
    <t xml:space="preserve">TC-10</t>
  </si>
  <si>
    <t xml:space="preserve">Login when backend is down</t>
  </si>
  <si>
    <t xml:space="preserve">Stop the Flask server (Ctrl+C).</t>
  </si>
  <si>
    <t xml:space="preserve">1. Open /login
2. Submit any valid-shaped credentials</t>
  </si>
  <si>
    <t xml:space="preserve">—</t>
  </si>
  <si>
    <t xml:space="preserve">Inline alert reads 'Cannot reach the backend...' (network-error branch), not the generic 'Login failed.'</t>
  </si>
  <si>
    <t xml:space="preserve">TC-11</t>
  </si>
  <si>
    <t xml:space="preserve">Password show/hide toggle on Login</t>
  </si>
  <si>
    <t xml:space="preserve">On /login page.</t>
  </si>
  <si>
    <t xml:space="preserve">1. Type any password
2. Click eye icon to reveal
3. Click again to hide</t>
  </si>
  <si>
    <t xml:space="preserve">Same toggle behavior as on Register; aria-pressed flips true/false.</t>
  </si>
  <si>
    <t xml:space="preserve">TC-12</t>
  </si>
  <si>
    <t xml:space="preserve">Auth · Logout</t>
  </si>
  <si>
    <t xml:space="preserve">Logout clears session and redirects to /login</t>
  </si>
  <si>
    <t xml:space="preserve">Logged in as any user.</t>
  </si>
  <si>
    <t xml:space="preserve">1. Click 'Sign out' in navbar</t>
  </si>
  <si>
    <t xml:space="preserve">JWT and user removed from localStorage. Redirected to /login. Navbar shows Sign in / Create account.</t>
  </si>
  <si>
    <t xml:space="preserve">TC-13</t>
  </si>
  <si>
    <t xml:space="preserve">Auth · Routes</t>
  </si>
  <si>
    <t xml:space="preserve">Private route blocks unauthenticated access</t>
  </si>
  <si>
    <t xml:space="preserve">Logged out.</t>
  </si>
  <si>
    <t xml:space="preserve">1. Visit /upload directly via URL bar</t>
  </si>
  <si>
    <t xml:space="preserve">Redirected to /login by PrivateRoute.</t>
  </si>
  <si>
    <t xml:space="preserve">TC-14</t>
  </si>
  <si>
    <t xml:space="preserve">Upload</t>
  </si>
  <si>
    <t xml:space="preserve">Upload a valid TXT lesson plan</t>
  </si>
  <si>
    <t xml:space="preserve">Logged in. Backend up. Reloader off (Flask started without auto-reloader).</t>
  </si>
  <si>
    <t xml:space="preserve">1. Open /upload
2. Fill title 'Intro to Stacks'
3. Pick samples/lp1_remember_lecture.txt
4. Click Analyze lesson plan</t>
  </si>
  <si>
    <t xml:space="preserve">file=lp1_remember_lecture.txt</t>
  </si>
  <si>
    <t xml:space="preserve">201 from /api/lessons/upload. Browser navigates to /lessons/&lt;new_id&gt;. Bloom level and strategy displayed.</t>
  </si>
  <si>
    <t xml:space="preserve">TC-15</t>
  </si>
  <si>
    <t xml:space="preserve">Upload a valid PDF lesson plan</t>
  </si>
  <si>
    <t xml:space="preserve">Logged in. pdfplumber + PyPDF2 installed.</t>
  </si>
  <si>
    <t xml:space="preserve">1. /upload
2. Pick a PDF lesson plan
3. Submit</t>
  </si>
  <si>
    <t xml:space="preserve">file=*.pdf</t>
  </si>
  <si>
    <t xml:space="preserve">Text extracted, classification returned, redirect to results. Confidence ≥ 0 and ≤ 1.</t>
  </si>
  <si>
    <t xml:space="preserve">TC-16</t>
  </si>
  <si>
    <t xml:space="preserve">Upload a valid DOCX lesson plan</t>
  </si>
  <si>
    <t xml:space="preserve">Logged in. python-docx installed.</t>
  </si>
  <si>
    <t xml:space="preserve">1. /upload
2. Pick a .docx
3. Submit</t>
  </si>
  <si>
    <t xml:space="preserve">file=*.docx</t>
  </si>
  <si>
    <t xml:space="preserve">Text extracted via python-docx. Classification returned. Redirect to results.</t>
  </si>
  <si>
    <t xml:space="preserve">TC-17</t>
  </si>
  <si>
    <t xml:space="preserve">Reject unsupported file type</t>
  </si>
  <si>
    <t xml:space="preserve">Logged in.</t>
  </si>
  <si>
    <t xml:space="preserve">1. /upload
2. In the OS picker, switch to 'All files' and select a .png
3. Submit</t>
  </si>
  <si>
    <t xml:space="preserve">file=*.png</t>
  </si>
  <si>
    <t xml:space="preserve">400 response. Alert: 'Unsupported file type. Allowed: [docx, pdf, txt]'.</t>
  </si>
  <si>
    <t xml:space="preserve">TC-18</t>
  </si>
  <si>
    <t xml:space="preserve">Reject file larger than 16 MB</t>
  </si>
  <si>
    <t xml:space="preserve">Logged in. A &gt;16 MB pdf available.</t>
  </si>
  <si>
    <t xml:space="preserve">1. /upload
2. Pick the oversized file
3. Submit</t>
  </si>
  <si>
    <t xml:space="preserve">file ~ 20 MB</t>
  </si>
  <si>
    <t xml:space="preserve">413 response. Alert: 'File too large. Max 16 MB.'</t>
  </si>
  <si>
    <t xml:space="preserve">TC-19</t>
  </si>
  <si>
    <t xml:space="preserve">Submit without selecting any file</t>
  </si>
  <si>
    <t xml:space="preserve">1. /upload
2. Click Analyze with no file picked</t>
  </si>
  <si>
    <t xml:space="preserve">file=null</t>
  </si>
  <si>
    <t xml:space="preserve">Frontend shows 'Please choose a PDF, DOCX, or TXT file.' No API call made.</t>
  </si>
  <si>
    <t xml:space="preserve">TC-20</t>
  </si>
  <si>
    <t xml:space="preserve">Upload a file with no extractable text</t>
  </si>
  <si>
    <t xml:space="preserve">Logged in. Image-only PDF (scan, no OCR).</t>
  </si>
  <si>
    <t xml:space="preserve">1. /upload
2. Pick the image-only PDF
3. Submit</t>
  </si>
  <si>
    <t xml:space="preserve">file=scanned.pdf</t>
  </si>
  <si>
    <t xml:space="preserve">422 response. Alert: 'Could not extract meaningful text from the file.'</t>
  </si>
  <si>
    <t xml:space="preserve">TC-21</t>
  </si>
  <si>
    <t xml:space="preserve">Backend unreachable during upload</t>
  </si>
  <si>
    <t xml:space="preserve">Stop Flask. Reloader-off mode lets the failure be deterministic.</t>
  </si>
  <si>
    <t xml:space="preserve">1. /upload with valid file
2. Submit</t>
  </si>
  <si>
    <t xml:space="preserve">Alert: 'Cannot reach the backend at http://localhost:5000/api…' with the start-flask hint.</t>
  </si>
  <si>
    <t xml:space="preserve">TC-22</t>
  </si>
  <si>
    <t xml:space="preserve">Upload with expired JWT</t>
  </si>
  <si>
    <t xml:space="preserve">Token has been tampered with or older than 12 h.</t>
  </si>
  <si>
    <t xml:space="preserve">1. Edit localStorage 'token' to a junk string
2. Reload /upload
3. Pick file &amp; submit</t>
  </si>
  <si>
    <t xml:space="preserve">401/422 response. Alert: 'Your session has expired. Please log out and log in again.'</t>
  </si>
  <si>
    <t xml:space="preserve">TC-23</t>
  </si>
  <si>
    <t xml:space="preserve">Title defaults to filename when blank</t>
  </si>
  <si>
    <t xml:space="preserve">1. Pick file, leave Title empty, submit</t>
  </si>
  <si>
    <t xml:space="preserve">title=''; file=lp2_apply_activity.txt</t>
  </si>
  <si>
    <t xml:space="preserve">Lesson saved with title 'lp2_apply_activity' (filename without extension).</t>
  </si>
  <si>
    <t xml:space="preserve">TC-24</t>
  </si>
  <si>
    <t xml:space="preserve">CO/PO mapping is persisted</t>
  </si>
  <si>
    <t xml:space="preserve">1. Upload with CO='CO2, CO3' and PO='PO1, PO5'
2. Open the result page</t>
  </si>
  <si>
    <t xml:space="preserve">co=CO2, CO3; po=PO1, PO5</t>
  </si>
  <si>
    <t xml:space="preserve">Page header shows 'CO: CO2, CO3 · PO: PO1, PO5'.</t>
  </si>
  <si>
    <t xml:space="preserve">TC-25</t>
  </si>
  <si>
    <t xml:space="preserve">Results</t>
  </si>
  <si>
    <t xml:space="preserve">Classifier returns a Bloom's label and a strategy label</t>
  </si>
  <si>
    <t xml:space="preserve">A lesson uploaded successfully.</t>
  </si>
  <si>
    <t xml:space="preserve">1. Open /lessons/&lt;id&gt;</t>
  </si>
  <si>
    <t xml:space="preserve">Bloom level is one of {Remember, Understand, Apply, Analyze, Evaluate, Create}; strategy is one of {Lecture, Inquiry, Activity, Project, Discussion, Demonstration}; both confidences in [0, 1].</t>
  </si>
  <si>
    <t xml:space="preserve">TC-26</t>
  </si>
  <si>
    <t xml:space="preserve">Distribution charts render correctly</t>
  </si>
  <si>
    <t xml:space="preserve">A lesson uploaded.</t>
  </si>
  <si>
    <t xml:space="preserve">1. Open /lessons/&lt;id&gt;
2. Inspect both bar charts</t>
  </si>
  <si>
    <t xml:space="preserve">Two charts (Bloom + Strategy) render. Y-axis is %, sum across categories ≈ 100.</t>
  </si>
  <si>
    <t xml:space="preserve">TC-27</t>
  </si>
  <si>
    <t xml:space="preserve">Higher-order thinking share displayed</t>
  </si>
  <si>
    <t xml:space="preserve">1. Open /lessons/&lt;id&gt;
2. Read the third KPI</t>
  </si>
  <si>
    <t xml:space="preserve">Higher-order thinking value matches Apply+Analyze+Evaluate+Create from the distribution, rounded to whole percent.</t>
  </si>
  <si>
    <t xml:space="preserve">TC-28</t>
  </si>
  <si>
    <t xml:space="preserve">Recommendations show severity coloring</t>
  </si>
  <si>
    <t xml:space="preserve">A lesson with at least one 'high' and one 'low' recommendation.</t>
  </si>
  <si>
    <t xml:space="preserve">1. Open /lessons/&lt;id&gt;
2. Look at the Recommendations card</t>
  </si>
  <si>
    <t xml:space="preserve">High recs have danger-colored left border, medium = warn, low = ok.</t>
  </si>
  <si>
    <t xml:space="preserve">TC-29</t>
  </si>
  <si>
    <t xml:space="preserve">Missing sections surfaced when a heading is absent</t>
  </si>
  <si>
    <t xml:space="preserve">Upload a plan that omits 'assessment' section.</t>
  </si>
  <si>
    <t xml:space="preserve">1. Open /lessons/&lt;id&gt;
2. Look in 'Analysis details'</t>
  </si>
  <si>
    <t xml:space="preserve">Tag 'Missing sections' lists 'assessment'.</t>
  </si>
  <si>
    <t xml:space="preserve">TC-30</t>
  </si>
  <si>
    <t xml:space="preserve">Cannot view another teacher's lesson</t>
  </si>
  <si>
    <t xml:space="preserve">Teacher A uploads lesson_id=N. Login as Teacher B.</t>
  </si>
  <si>
    <t xml:space="preserve">1. As B, visit /lessons/N</t>
  </si>
  <si>
    <t xml:space="preserve">404 'Lesson plan not found' shown in alert.</t>
  </si>
  <si>
    <t xml:space="preserve">TC-31</t>
  </si>
  <si>
    <t xml:space="preserve">History lists my plans only</t>
  </si>
  <si>
    <t xml:space="preserve">Two teachers each have plans.</t>
  </si>
  <si>
    <t xml:space="preserve">1. Login as Teacher A
2. Open /history</t>
  </si>
  <si>
    <t xml:space="preserve">Only A's plans appear; B's plans are absent.</t>
  </si>
  <si>
    <t xml:space="preserve">TC-32</t>
  </si>
  <si>
    <t xml:space="preserve">Filter narrows the list</t>
  </si>
  <si>
    <t xml:space="preserve">At least 3 plans with different titles/subjects.</t>
  </si>
  <si>
    <t xml:space="preserve">1. Open /history
2. Type a substring matching only one plan</t>
  </si>
  <si>
    <t xml:space="preserve">filter='deep'</t>
  </si>
  <si>
    <t xml:space="preserve">Only matching rows shown. Header count updates.</t>
  </si>
  <si>
    <t xml:space="preserve">TC-33</t>
  </si>
  <si>
    <t xml:space="preserve">Open lesson from history</t>
  </si>
  <si>
    <t xml:space="preserve">At least one plan exists.</t>
  </si>
  <si>
    <t xml:space="preserve">1. /history
2. Click 'Open' on a row</t>
  </si>
  <si>
    <t xml:space="preserve">Navigates to /lessons/&lt;id&gt; and full report renders.</t>
  </si>
  <si>
    <t xml:space="preserve">TC-34</t>
  </si>
  <si>
    <t xml:space="preserve">Delete a plan</t>
  </si>
  <si>
    <t xml:space="preserve">1. /history
2. Click Delete on a row
3. Confirm</t>
  </si>
  <si>
    <t xml:space="preserve">Row disappears from list. File removed from backend/uploads/. DB row gone.</t>
  </si>
  <si>
    <t xml:space="preserve">TC-35</t>
  </si>
  <si>
    <t xml:space="preserve">Cancel delete keeps the plan</t>
  </si>
  <si>
    <t xml:space="preserve">1. /history
2. Click Delete
3. Click Cancel in the OS confirm dialog</t>
  </si>
  <si>
    <t xml:space="preserve">No DELETE call made. Plan still listed.</t>
  </si>
  <si>
    <t xml:space="preserve">TC-36</t>
  </si>
  <si>
    <t xml:space="preserve">Performance · single</t>
  </si>
  <si>
    <t xml:space="preserve">Add a record linked to my own plan</t>
  </si>
  <si>
    <t xml:space="preserve">I own at least one lesson plan.</t>
  </si>
  <si>
    <t xml:space="preserve">1. /performance
2. Pick my plan in dropdown
3. Fill student/roll/score (max=100)
4. Add record</t>
  </si>
  <si>
    <t xml:space="preserve">score=85; max_score=100</t>
  </si>
  <si>
    <t xml:space="preserve">201 created. Record appears in 'All records' with 85% bar.</t>
  </si>
  <si>
    <t xml:space="preserve">TC-37</t>
  </si>
  <si>
    <t xml:space="preserve">Add a record without linking a plan</t>
  </si>
  <si>
    <t xml:space="preserve">1. /performance
2. Leave 'Linked lesson plan' = none
3. Fill score
4. Add record</t>
  </si>
  <si>
    <t xml:space="preserve">lesson_plan_id=null</t>
  </si>
  <si>
    <t xml:space="preserve">201 created. Record listed with lesson plan column showing '—'.</t>
  </si>
  <si>
    <t xml:space="preserve">TC-38</t>
  </si>
  <si>
    <t xml:space="preserve">Score must be numeric</t>
  </si>
  <si>
    <t xml:space="preserve">1. Try to type letters in the Score field</t>
  </si>
  <si>
    <t xml:space="preserve">Number input rejects non-numeric. Submit blocked by browser.</t>
  </si>
  <si>
    <t xml:space="preserve">TC-39</t>
  </si>
  <si>
    <t xml:space="preserve">Cannot link to another teacher's plan via API</t>
  </si>
  <si>
    <t xml:space="preserve">As Teacher B, manually craft a request with Teacher A's lesson_plan_id.</t>
  </si>
  <si>
    <t xml:space="preserve">1. Send POST /api/performance with lesson_plan_id=&lt;A's plan id&gt; using B's token (e.g. via curl)</t>
  </si>
  <si>
    <t xml:space="preserve">lesson_plan_id=&lt;other user's id&gt;</t>
  </si>
  <si>
    <t xml:space="preserve">404 'Lesson plan not found'. No record created.</t>
  </si>
  <si>
    <t xml:space="preserve">TC-40</t>
  </si>
  <si>
    <t xml:space="preserve">Performance · bulk</t>
  </si>
  <si>
    <t xml:space="preserve">Import the 50-row synthetic CSV</t>
  </si>
  <si>
    <t xml:space="preserve">Logged in. Forgiving checkbox checked (default).</t>
  </si>
  <si>
    <t xml:space="preserve">1. /performance
2. Pick samples/student_outcomes_50.csv
3. Click Import CSV</t>
  </si>
  <si>
    <t xml:space="preserve">rows=50; lesson_plan_id column blank</t>
  </si>
  <si>
    <t xml:space="preserve">Success alert: 'Imported 50 record(s)'. Records visible in table. Records KPI = 50 (or +50 over baseline).</t>
  </si>
  <si>
    <t xml:space="preserve">TC-41</t>
  </si>
  <si>
    <t xml:space="preserve">Forgiving mode rescues unknown lesson_plan_ids</t>
  </si>
  <si>
    <t xml:space="preserve">CSV has lesson_plan_id pointing to a plan the current user does not own.</t>
  </si>
  <si>
    <t xml:space="preserve">1. Ensure 'Save rows as Unlinked…' checkbox is checked
2. Import the CSV</t>
  </si>
  <si>
    <t xml:space="preserve">lesson_plan_id=999 (not yours) on every row</t>
  </si>
  <si>
    <t xml:space="preserve">All rows imported. Alert reads 'Imported N · N saved as Unlinked (lesson_plan_id not yours)'.</t>
  </si>
  <si>
    <t xml:space="preserve">TC-42</t>
  </si>
  <si>
    <t xml:space="preserve">Strict mode rejects unknown lesson_plan_ids</t>
  </si>
  <si>
    <t xml:space="preserve">Same CSV as above.</t>
  </si>
  <si>
    <t xml:space="preserve">1. Uncheck 'Save rows as Unlinked…'
2. Import</t>
  </si>
  <si>
    <t xml:space="preserve">Imported 0. Errors list shows 'Row N: lesson_plan_id 999 not found' for every row.</t>
  </si>
  <si>
    <t xml:space="preserve">TC-43</t>
  </si>
  <si>
    <t xml:space="preserve">Reject CSV with non-numeric score</t>
  </si>
  <si>
    <t xml:space="preserve">Strict mode (or any).</t>
  </si>
  <si>
    <t xml:space="preserve">1. Edit one row to set score='ten'
2. Import</t>
  </si>
  <si>
    <t xml:space="preserve">score=ten</t>
  </si>
  <si>
    <t xml:space="preserve">That row appears in the import errors list with the ValueError message; other rows still imported.</t>
  </si>
  <si>
    <t xml:space="preserve">TC-44</t>
  </si>
  <si>
    <t xml:space="preserve">UTF-8 BOM stripped automatically</t>
  </si>
  <si>
    <t xml:space="preserve">Save the CSV from Excel (Save As → CSV UTF-8 with BOM).</t>
  </si>
  <si>
    <t xml:space="preserve">1. Import the BOM file</t>
  </si>
  <si>
    <t xml:space="preserve">bom=true</t>
  </si>
  <si>
    <t xml:space="preserve">student_name still recognized; rows imported normally. Without the BOM-strip fix, all student names would have been blank.</t>
  </si>
  <si>
    <t xml:space="preserve">TC-45</t>
  </si>
  <si>
    <t xml:space="preserve">Reject when no file selected</t>
  </si>
  <si>
    <t xml:space="preserve">1. Click Import with no file picked</t>
  </si>
  <si>
    <t xml:space="preserve">Submit button disabled until a file is chosen. No API call.</t>
  </si>
  <si>
    <t xml:space="preserve">TC-46</t>
  </si>
  <si>
    <t xml:space="preserve">Empty CSV (header only)</t>
  </si>
  <si>
    <t xml:space="preserve">1. Import a CSV that contains only the header line</t>
  </si>
  <si>
    <t xml:space="preserve">rows=0</t>
  </si>
  <si>
    <t xml:space="preserve">Response: created=0, errors=[]. Alert: 'Imported 0 record(s)'.</t>
  </si>
  <si>
    <t xml:space="preserve">Edge</t>
  </si>
  <si>
    <t xml:space="preserve">TC-47</t>
  </si>
  <si>
    <t xml:space="preserve">CSV missing required columns</t>
  </si>
  <si>
    <t xml:space="preserve">1. Import a CSV without the 'score' column</t>
  </si>
  <si>
    <t xml:space="preserve">All rows fail with row-level errors mentioning the missing field; created=0.</t>
  </si>
  <si>
    <t xml:space="preserve">TC-48</t>
  </si>
  <si>
    <t xml:space="preserve">Non-CSV file rejected by the picker</t>
  </si>
  <si>
    <t xml:space="preserve">1. Try to pick an .xlsx in the file dialog</t>
  </si>
  <si>
    <t xml:space="preserve">Native file dialog filters out non-csv (accept='.csv'). User must explicitly switch filter.</t>
  </si>
  <si>
    <t xml:space="preserve">TC-49</t>
  </si>
  <si>
    <t xml:space="preserve">KPIs reflect imported data</t>
  </si>
  <si>
    <t xml:space="preserve">50 records imported via the synthetic CSV.</t>
  </si>
  <si>
    <t xml:space="preserve">1. /performance
2. Read the three KPI cards</t>
  </si>
  <si>
    <t xml:space="preserve">Records=50; Average ≈ 70–80%; Pass rate (≥40%) ≈ 90–100% for this dataset.</t>
  </si>
  <si>
    <t xml:space="preserve">TC-50</t>
  </si>
  <si>
    <t xml:space="preserve">Per-lesson chart renders only when plans linked</t>
  </si>
  <si>
    <t xml:space="preserve">No records have a lesson_plan_id.</t>
  </si>
  <si>
    <t xml:space="preserve">1. /performance
2. Look for 'Average score per lesson plan'</t>
  </si>
  <si>
    <t xml:space="preserve">Chart shows a single 'Unlinked' bar (or none if zero records); does not throw.</t>
  </si>
  <si>
    <t xml:space="preserve">TC-51</t>
  </si>
  <si>
    <t xml:space="preserve">Dashboard</t>
  </si>
  <si>
    <t xml:space="preserve">Dashboard KPIs match analytics</t>
  </si>
  <si>
    <t xml:space="preserve">Records and lessons present.</t>
  </si>
  <si>
    <t xml:space="preserve">1. /
2. Read 'Lessons analyzed', 'Performance records', 'Average score', 'Pass rate'</t>
  </si>
  <si>
    <t xml:space="preserve">Numbers equal /history count and /performance analytics respectively.</t>
  </si>
  <si>
    <t xml:space="preserve">TC-52</t>
  </si>
  <si>
    <t xml:space="preserve">Reloader-off keeps long requests alive</t>
  </si>
  <si>
    <t xml:space="preserve">Backend started without FLASK_USE_RELOADER.</t>
  </si>
  <si>
    <t xml:space="preserve">1. Trigger a slow upload (DOCX with classifier)
2. Watch flask logs</t>
  </si>
  <si>
    <t xml:space="preserve">No 'Detected change…' / 'Restarting' lines mid-request. POST /api/lessons/upload completes with 201.</t>
  </si>
  <si>
    <t xml:space="preserve">TC-53</t>
  </si>
  <si>
    <t xml:space="preserve">Responsive layout on narrow viewport</t>
  </si>
  <si>
    <t xml:space="preserve">1. Resize browser to 380 px
2. Visit /, /upload, /performance</t>
  </si>
  <si>
    <t xml:space="preserve">Hero stacks; grids collapse to single column; nav remains usable; no horizontal scroll.</t>
  </si>
  <si>
    <t xml:space="preserve">Test Run Summary</t>
  </si>
  <si>
    <t xml:space="preserve">By status</t>
  </si>
  <si>
    <t xml:space="preserve">Count</t>
  </si>
  <si>
    <t xml:space="preserve">% of total</t>
  </si>
  <si>
    <t xml:space="preserve">Pass</t>
  </si>
  <si>
    <t xml:space="preserve">Fail</t>
  </si>
  <si>
    <t xml:space="preserve">Blocked</t>
  </si>
  <si>
    <t xml:space="preserve">Total</t>
  </si>
  <si>
    <t xml:space="preserve">By priority</t>
  </si>
  <si>
    <t xml:space="preserve">By 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</si>
</sst>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B2435"/>
      <name val="Arial"/>
      <family val="0"/>
      <charset val="1"/>
    </font>
    <font>
      <sz val="10"/>
      <color rgb="FF1B243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435"/>
        <bgColor rgb="FF333300"/>
      </patternFill>
    </fill>
    <fill>
      <patternFill patternType="solid">
        <fgColor rgb="FFF4F1EA"/>
        <bgColor rgb="FFFBFAF7"/>
      </patternFill>
    </fill>
    <fill>
      <patternFill patternType="solid">
        <fgColor rgb="FF3949A3"/>
        <bgColor rgb="FF666699"/>
      </patternFill>
    </fill>
    <fill>
      <patternFill patternType="solid">
        <fgColor rgb="FFFBFAF7"/>
        <bgColor rgb="FFFFFFFF"/>
      </patternFill>
    </fill>
    <fill>
      <patternFill patternType="solid">
        <fgColor rgb="FF0F7C6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BBF"/>
      </left>
      <right style="thin">
        <color rgb="FFCFCBBF"/>
      </right>
      <top style="thin">
        <color rgb="FFCFCBBF"/>
      </top>
      <bottom style="thin">
        <color rgb="FFCFCB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949A3"/>
          <bgColor rgb="FF000000"/>
        </patternFill>
      </fill>
    </dxf>
    <dxf>
      <fill>
        <patternFill patternType="solid">
          <fgColor rgb="FFFBF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43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66"/>
      <rgbColor rgb="FFCFCBBF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949A3"/>
      <rgbColor rgb="FF1B24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4"/>
  </cols>
  <sheetData>
    <row r="1" customFormat="false" ht="30" hidden="false" customHeight="true" outlineLevel="0" collapsed="false">
      <c r="A1" s="2" t="s">
        <v>0</v>
      </c>
      <c r="B1" s="2"/>
    </row>
    <row r="2" customFormat="false" ht="30" hidden="false" customHeight="true" outlineLevel="0" collapsed="false">
      <c r="A2" s="2"/>
      <c r="B2" s="2"/>
    </row>
    <row r="4" customFormat="false" ht="21.75" hidden="false" customHeight="true" outlineLevel="0" collapsed="false">
      <c r="A4" s="3" t="s">
        <v>1</v>
      </c>
      <c r="B4" s="4" t="s">
        <v>2</v>
      </c>
    </row>
    <row r="5" customFormat="false" ht="21.75" hidden="false" customHeight="true" outlineLevel="0" collapsed="false">
      <c r="A5" s="3" t="s">
        <v>3</v>
      </c>
      <c r="B5" s="4" t="s">
        <v>4</v>
      </c>
    </row>
    <row r="6" customFormat="false" ht="21.75" hidden="false" customHeight="true" outlineLevel="0" collapsed="false">
      <c r="A6" s="3" t="s">
        <v>5</v>
      </c>
      <c r="B6" s="4" t="s">
        <v>6</v>
      </c>
    </row>
    <row r="7" customFormat="false" ht="21.75" hidden="false" customHeight="true" outlineLevel="0" collapsed="false">
      <c r="A7" s="3" t="s">
        <v>7</v>
      </c>
      <c r="B7" s="4" t="n">
        <v>53</v>
      </c>
    </row>
    <row r="8" customFormat="false" ht="21.75" hidden="false" customHeight="true" outlineLevel="0" collapsed="false">
      <c r="A8" s="3" t="s">
        <v>8</v>
      </c>
      <c r="B8" s="4" t="s">
        <v>9</v>
      </c>
    </row>
    <row r="9" customFormat="false" ht="21.75" hidden="false" customHeight="true" outlineLevel="0" collapsed="false">
      <c r="A9" s="3" t="s">
        <v>10</v>
      </c>
      <c r="B9" s="4" t="s">
        <v>11</v>
      </c>
    </row>
    <row r="10" customFormat="false" ht="21.75" hidden="false" customHeight="true" outlineLevel="0" collapsed="false">
      <c r="A10" s="3" t="s">
        <v>12</v>
      </c>
      <c r="B10" s="4" t="s">
        <v>13</v>
      </c>
    </row>
    <row r="11" customFormat="false" ht="21.75" hidden="false" customHeight="true" outlineLevel="0" collapsed="false">
      <c r="A11" s="3" t="s">
        <v>14</v>
      </c>
      <c r="B11" s="4" t="s">
        <v>15</v>
      </c>
    </row>
    <row r="12" customFormat="false" ht="21.75" hidden="false" customHeight="true" outlineLevel="0" collapsed="false">
      <c r="A12" s="3" t="s">
        <v>16</v>
      </c>
      <c r="B12" s="4" t="s">
        <v>17</v>
      </c>
    </row>
    <row r="13" customFormat="false" ht="21.75" hidden="false" customHeight="true" outlineLevel="0" collapsed="false">
      <c r="A13" s="3" t="s">
        <v>18</v>
      </c>
      <c r="B13" s="4" t="s">
        <v>19</v>
      </c>
    </row>
    <row r="15" customFormat="false" ht="24" hidden="false" customHeight="true" outlineLevel="0" collapsed="false">
      <c r="A15" s="5" t="s">
        <v>20</v>
      </c>
      <c r="B15" s="5"/>
    </row>
    <row r="16" customFormat="false" ht="18" hidden="false" customHeight="true" outlineLevel="0" collapsed="false">
      <c r="A16" s="6" t="s">
        <v>21</v>
      </c>
      <c r="B16" s="4" t="s">
        <v>22</v>
      </c>
    </row>
    <row r="17" customFormat="false" ht="18" hidden="false" customHeight="true" outlineLevel="0" collapsed="false">
      <c r="A17" s="6" t="s">
        <v>23</v>
      </c>
      <c r="B17" s="4" t="s">
        <v>24</v>
      </c>
    </row>
    <row r="18" customFormat="false" ht="18" hidden="false" customHeight="true" outlineLevel="0" collapsed="false">
      <c r="A18" s="6" t="s">
        <v>25</v>
      </c>
      <c r="B18" s="4" t="s">
        <v>26</v>
      </c>
    </row>
    <row r="19" customFormat="false" ht="18" hidden="false" customHeight="true" outlineLevel="0" collapsed="false">
      <c r="A19" s="6" t="s">
        <v>27</v>
      </c>
      <c r="B19" s="4" t="s">
        <v>28</v>
      </c>
    </row>
    <row r="20" customFormat="false" ht="18" hidden="false" customHeight="true" outlineLevel="0" collapsed="false">
      <c r="A20" s="6" t="s">
        <v>29</v>
      </c>
      <c r="B20" s="4" t="s">
        <v>30</v>
      </c>
    </row>
    <row r="21" customFormat="false" ht="18" hidden="false" customHeight="true" outlineLevel="0" collapsed="false">
      <c r="A21" s="6" t="s">
        <v>31</v>
      </c>
      <c r="B21" s="4" t="s">
        <v>32</v>
      </c>
    </row>
    <row r="22" customFormat="false" ht="18" hidden="false" customHeight="true" outlineLevel="0" collapsed="false">
      <c r="A22" s="6" t="s">
        <v>33</v>
      </c>
      <c r="B22" s="4" t="s">
        <v>34</v>
      </c>
    </row>
    <row r="23" customFormat="false" ht="18" hidden="false" customHeight="true" outlineLevel="0" collapsed="false">
      <c r="A23" s="6" t="s">
        <v>35</v>
      </c>
      <c r="B23" s="4" t="s">
        <v>36</v>
      </c>
    </row>
    <row r="24" customFormat="false" ht="18" hidden="false" customHeight="true" outlineLevel="0" collapsed="false">
      <c r="A24" s="6" t="s">
        <v>37</v>
      </c>
      <c r="B24" s="4" t="s">
        <v>38</v>
      </c>
    </row>
  </sheetData>
  <mergeCells count="2">
    <mergeCell ref="A1:B2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30"/>
    <col collapsed="false" customWidth="true" hidden="false" outlineLevel="0" max="5" min="5" style="1" width="38"/>
    <col collapsed="false" customWidth="true" hidden="false" outlineLevel="0" max="6" min="6" style="1" width="24"/>
    <col collapsed="false" customWidth="true" hidden="false" outlineLevel="0" max="7" min="7" style="1" width="44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11"/>
  </cols>
  <sheetData>
    <row r="1" customFormat="false" ht="27.75" hidden="false" customHeight="tru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</row>
    <row r="2" customFormat="false" ht="34.5" hidden="false" customHeight="true" outlineLevel="0" collapsed="false">
      <c r="A2" s="8" t="s">
        <v>49</v>
      </c>
      <c r="B2" s="9" t="s">
        <v>50</v>
      </c>
      <c r="C2" s="9" t="s">
        <v>51</v>
      </c>
      <c r="D2" s="9" t="s">
        <v>52</v>
      </c>
      <c r="E2" s="9" t="s">
        <v>53</v>
      </c>
      <c r="F2" s="9" t="s">
        <v>54</v>
      </c>
      <c r="G2" s="9" t="s">
        <v>55</v>
      </c>
      <c r="H2" s="8" t="s">
        <v>56</v>
      </c>
      <c r="I2" s="8" t="s">
        <v>57</v>
      </c>
      <c r="J2" s="8" t="s">
        <v>58</v>
      </c>
    </row>
    <row r="3" customFormat="false" ht="23.25" hidden="false" customHeight="true" outlineLevel="0" collapsed="false">
      <c r="A3" s="10" t="s">
        <v>59</v>
      </c>
      <c r="B3" s="11" t="s">
        <v>50</v>
      </c>
      <c r="C3" s="11" t="s">
        <v>60</v>
      </c>
      <c r="D3" s="11" t="s">
        <v>61</v>
      </c>
      <c r="E3" s="11" t="s">
        <v>62</v>
      </c>
      <c r="F3" s="11" t="s">
        <v>63</v>
      </c>
      <c r="G3" s="11" t="s">
        <v>64</v>
      </c>
      <c r="H3" s="10" t="s">
        <v>65</v>
      </c>
      <c r="I3" s="10" t="s">
        <v>66</v>
      </c>
      <c r="J3" s="10" t="s">
        <v>58</v>
      </c>
    </row>
    <row r="4" customFormat="false" ht="34.5" hidden="false" customHeight="true" outlineLevel="0" collapsed="false">
      <c r="A4" s="8" t="s">
        <v>67</v>
      </c>
      <c r="B4" s="9" t="s">
        <v>50</v>
      </c>
      <c r="C4" s="9" t="s">
        <v>68</v>
      </c>
      <c r="D4" s="9" t="s">
        <v>69</v>
      </c>
      <c r="E4" s="9" t="s">
        <v>70</v>
      </c>
      <c r="F4" s="9" t="s">
        <v>71</v>
      </c>
      <c r="G4" s="9" t="s">
        <v>72</v>
      </c>
      <c r="H4" s="8" t="s">
        <v>65</v>
      </c>
      <c r="I4" s="8" t="s">
        <v>73</v>
      </c>
      <c r="J4" s="8" t="s">
        <v>58</v>
      </c>
    </row>
    <row r="5" customFormat="false" ht="34.5" hidden="false" customHeight="true" outlineLevel="0" collapsed="false">
      <c r="A5" s="10" t="s">
        <v>74</v>
      </c>
      <c r="B5" s="11" t="s">
        <v>50</v>
      </c>
      <c r="C5" s="11" t="s">
        <v>75</v>
      </c>
      <c r="D5" s="11" t="s">
        <v>69</v>
      </c>
      <c r="E5" s="11" t="s">
        <v>76</v>
      </c>
      <c r="F5" s="11" t="s">
        <v>77</v>
      </c>
      <c r="G5" s="11" t="s">
        <v>78</v>
      </c>
      <c r="H5" s="10" t="s">
        <v>65</v>
      </c>
      <c r="I5" s="10" t="s">
        <v>73</v>
      </c>
      <c r="J5" s="10" t="s">
        <v>58</v>
      </c>
    </row>
    <row r="6" customFormat="false" ht="34.5" hidden="false" customHeight="true" outlineLevel="0" collapsed="false">
      <c r="A6" s="8" t="s">
        <v>79</v>
      </c>
      <c r="B6" s="9" t="s">
        <v>50</v>
      </c>
      <c r="C6" s="9" t="s">
        <v>80</v>
      </c>
      <c r="D6" s="9" t="s">
        <v>69</v>
      </c>
      <c r="E6" s="9" t="s">
        <v>81</v>
      </c>
      <c r="F6" s="9" t="s">
        <v>82</v>
      </c>
      <c r="G6" s="9" t="s">
        <v>83</v>
      </c>
      <c r="H6" s="8" t="s">
        <v>65</v>
      </c>
      <c r="I6" s="8" t="s">
        <v>73</v>
      </c>
      <c r="J6" s="8" t="s">
        <v>58</v>
      </c>
    </row>
    <row r="7" customFormat="false" ht="34.5" hidden="false" customHeight="true" outlineLevel="0" collapsed="false">
      <c r="A7" s="10" t="s">
        <v>84</v>
      </c>
      <c r="B7" s="11" t="s">
        <v>50</v>
      </c>
      <c r="C7" s="11" t="s">
        <v>85</v>
      </c>
      <c r="D7" s="11" t="s">
        <v>86</v>
      </c>
      <c r="E7" s="11" t="s">
        <v>87</v>
      </c>
      <c r="F7" s="11" t="s">
        <v>88</v>
      </c>
      <c r="G7" s="11" t="s">
        <v>89</v>
      </c>
      <c r="H7" s="10" t="s">
        <v>56</v>
      </c>
      <c r="I7" s="10" t="s">
        <v>66</v>
      </c>
      <c r="J7" s="10" t="s">
        <v>58</v>
      </c>
    </row>
    <row r="8" customFormat="false" ht="34.5" hidden="false" customHeight="true" outlineLevel="0" collapsed="false">
      <c r="A8" s="8" t="s">
        <v>90</v>
      </c>
      <c r="B8" s="9" t="s">
        <v>91</v>
      </c>
      <c r="C8" s="9" t="s">
        <v>92</v>
      </c>
      <c r="D8" s="9" t="s">
        <v>93</v>
      </c>
      <c r="E8" s="9" t="s">
        <v>94</v>
      </c>
      <c r="F8" s="9" t="s">
        <v>95</v>
      </c>
      <c r="G8" s="9" t="s">
        <v>96</v>
      </c>
      <c r="H8" s="8" t="s">
        <v>56</v>
      </c>
      <c r="I8" s="8" t="s">
        <v>57</v>
      </c>
      <c r="J8" s="8" t="s">
        <v>58</v>
      </c>
    </row>
    <row r="9" customFormat="false" ht="23.25" hidden="false" customHeight="true" outlineLevel="0" collapsed="false">
      <c r="A9" s="10" t="s">
        <v>97</v>
      </c>
      <c r="B9" s="11" t="s">
        <v>91</v>
      </c>
      <c r="C9" s="11" t="s">
        <v>98</v>
      </c>
      <c r="D9" s="11" t="s">
        <v>93</v>
      </c>
      <c r="E9" s="11" t="s">
        <v>99</v>
      </c>
      <c r="F9" s="11" t="s">
        <v>100</v>
      </c>
      <c r="G9" s="11" t="s">
        <v>101</v>
      </c>
      <c r="H9" s="10" t="s">
        <v>65</v>
      </c>
      <c r="I9" s="10" t="s">
        <v>66</v>
      </c>
      <c r="J9" s="10" t="s">
        <v>58</v>
      </c>
    </row>
    <row r="10" customFormat="false" ht="23.25" hidden="false" customHeight="true" outlineLevel="0" collapsed="false">
      <c r="A10" s="8" t="s">
        <v>102</v>
      </c>
      <c r="B10" s="9" t="s">
        <v>91</v>
      </c>
      <c r="C10" s="9" t="s">
        <v>103</v>
      </c>
      <c r="D10" s="9" t="s">
        <v>69</v>
      </c>
      <c r="E10" s="9" t="s">
        <v>104</v>
      </c>
      <c r="F10" s="9" t="s">
        <v>105</v>
      </c>
      <c r="G10" s="9" t="s">
        <v>106</v>
      </c>
      <c r="H10" s="8" t="s">
        <v>65</v>
      </c>
      <c r="I10" s="8" t="s">
        <v>66</v>
      </c>
      <c r="J10" s="8" t="s">
        <v>58</v>
      </c>
    </row>
    <row r="11" customFormat="false" ht="23.25" hidden="false" customHeight="true" outlineLevel="0" collapsed="false">
      <c r="A11" s="10" t="s">
        <v>107</v>
      </c>
      <c r="B11" s="11" t="s">
        <v>91</v>
      </c>
      <c r="C11" s="11" t="s">
        <v>108</v>
      </c>
      <c r="D11" s="11" t="s">
        <v>109</v>
      </c>
      <c r="E11" s="11" t="s">
        <v>110</v>
      </c>
      <c r="F11" s="11" t="s">
        <v>111</v>
      </c>
      <c r="G11" s="11" t="s">
        <v>112</v>
      </c>
      <c r="H11" s="10" t="s">
        <v>65</v>
      </c>
      <c r="I11" s="10" t="s">
        <v>66</v>
      </c>
      <c r="J11" s="10" t="s">
        <v>58</v>
      </c>
    </row>
    <row r="12" customFormat="false" ht="34.5" hidden="false" customHeight="true" outlineLevel="0" collapsed="false">
      <c r="A12" s="8" t="s">
        <v>113</v>
      </c>
      <c r="B12" s="9" t="s">
        <v>91</v>
      </c>
      <c r="C12" s="9" t="s">
        <v>114</v>
      </c>
      <c r="D12" s="9" t="s">
        <v>115</v>
      </c>
      <c r="E12" s="9" t="s">
        <v>116</v>
      </c>
      <c r="F12" s="9" t="s">
        <v>111</v>
      </c>
      <c r="G12" s="9" t="s">
        <v>117</v>
      </c>
      <c r="H12" s="8" t="s">
        <v>56</v>
      </c>
      <c r="I12" s="8" t="s">
        <v>73</v>
      </c>
      <c r="J12" s="8" t="s">
        <v>58</v>
      </c>
    </row>
    <row r="13" customFormat="false" ht="23.25" hidden="false" customHeight="true" outlineLevel="0" collapsed="false">
      <c r="A13" s="10" t="s">
        <v>118</v>
      </c>
      <c r="B13" s="11" t="s">
        <v>119</v>
      </c>
      <c r="C13" s="11" t="s">
        <v>120</v>
      </c>
      <c r="D13" s="11" t="s">
        <v>121</v>
      </c>
      <c r="E13" s="11" t="s">
        <v>122</v>
      </c>
      <c r="F13" s="11" t="s">
        <v>111</v>
      </c>
      <c r="G13" s="11" t="s">
        <v>123</v>
      </c>
      <c r="H13" s="10" t="s">
        <v>56</v>
      </c>
      <c r="I13" s="10" t="s">
        <v>66</v>
      </c>
      <c r="J13" s="10" t="s">
        <v>58</v>
      </c>
    </row>
    <row r="14" customFormat="false" ht="15" hidden="false" customHeight="true" outlineLevel="0" collapsed="false">
      <c r="A14" s="8" t="s">
        <v>124</v>
      </c>
      <c r="B14" s="9" t="s">
        <v>125</v>
      </c>
      <c r="C14" s="9" t="s">
        <v>126</v>
      </c>
      <c r="D14" s="9" t="s">
        <v>127</v>
      </c>
      <c r="E14" s="9" t="s">
        <v>128</v>
      </c>
      <c r="F14" s="9" t="s">
        <v>111</v>
      </c>
      <c r="G14" s="9" t="s">
        <v>129</v>
      </c>
      <c r="H14" s="8" t="s">
        <v>65</v>
      </c>
      <c r="I14" s="8" t="s">
        <v>57</v>
      </c>
      <c r="J14" s="8" t="s">
        <v>58</v>
      </c>
    </row>
    <row r="15" customFormat="false" ht="45.75" hidden="false" customHeight="true" outlineLevel="0" collapsed="false">
      <c r="A15" s="10" t="s">
        <v>130</v>
      </c>
      <c r="B15" s="11" t="s">
        <v>131</v>
      </c>
      <c r="C15" s="11" t="s">
        <v>132</v>
      </c>
      <c r="D15" s="11" t="s">
        <v>133</v>
      </c>
      <c r="E15" s="11" t="s">
        <v>134</v>
      </c>
      <c r="F15" s="11" t="s">
        <v>135</v>
      </c>
      <c r="G15" s="11" t="s">
        <v>136</v>
      </c>
      <c r="H15" s="10" t="s">
        <v>56</v>
      </c>
      <c r="I15" s="10" t="s">
        <v>57</v>
      </c>
      <c r="J15" s="10" t="s">
        <v>58</v>
      </c>
    </row>
    <row r="16" customFormat="false" ht="34.5" hidden="false" customHeight="true" outlineLevel="0" collapsed="false">
      <c r="A16" s="8" t="s">
        <v>137</v>
      </c>
      <c r="B16" s="9" t="s">
        <v>131</v>
      </c>
      <c r="C16" s="9" t="s">
        <v>138</v>
      </c>
      <c r="D16" s="9" t="s">
        <v>139</v>
      </c>
      <c r="E16" s="9" t="s">
        <v>140</v>
      </c>
      <c r="F16" s="9" t="s">
        <v>141</v>
      </c>
      <c r="G16" s="9" t="s">
        <v>142</v>
      </c>
      <c r="H16" s="8" t="s">
        <v>56</v>
      </c>
      <c r="I16" s="8" t="s">
        <v>57</v>
      </c>
      <c r="J16" s="8" t="s">
        <v>58</v>
      </c>
    </row>
    <row r="17" customFormat="false" ht="34.5" hidden="false" customHeight="true" outlineLevel="0" collapsed="false">
      <c r="A17" s="10" t="s">
        <v>143</v>
      </c>
      <c r="B17" s="11" t="s">
        <v>131</v>
      </c>
      <c r="C17" s="11" t="s">
        <v>144</v>
      </c>
      <c r="D17" s="11" t="s">
        <v>145</v>
      </c>
      <c r="E17" s="11" t="s">
        <v>146</v>
      </c>
      <c r="F17" s="11" t="s">
        <v>147</v>
      </c>
      <c r="G17" s="11" t="s">
        <v>148</v>
      </c>
      <c r="H17" s="10" t="s">
        <v>56</v>
      </c>
      <c r="I17" s="10" t="s">
        <v>66</v>
      </c>
      <c r="J17" s="10" t="s">
        <v>58</v>
      </c>
    </row>
    <row r="18" customFormat="false" ht="45.75" hidden="false" customHeight="true" outlineLevel="0" collapsed="false">
      <c r="A18" s="8" t="s">
        <v>149</v>
      </c>
      <c r="B18" s="9" t="s">
        <v>131</v>
      </c>
      <c r="C18" s="9" t="s">
        <v>150</v>
      </c>
      <c r="D18" s="9" t="s">
        <v>151</v>
      </c>
      <c r="E18" s="9" t="s">
        <v>152</v>
      </c>
      <c r="F18" s="9" t="s">
        <v>153</v>
      </c>
      <c r="G18" s="9" t="s">
        <v>154</v>
      </c>
      <c r="H18" s="8" t="s">
        <v>65</v>
      </c>
      <c r="I18" s="8" t="s">
        <v>66</v>
      </c>
      <c r="J18" s="8" t="s">
        <v>58</v>
      </c>
    </row>
    <row r="19" customFormat="false" ht="34.5" hidden="false" customHeight="true" outlineLevel="0" collapsed="false">
      <c r="A19" s="10" t="s">
        <v>155</v>
      </c>
      <c r="B19" s="11" t="s">
        <v>131</v>
      </c>
      <c r="C19" s="11" t="s">
        <v>156</v>
      </c>
      <c r="D19" s="11" t="s">
        <v>157</v>
      </c>
      <c r="E19" s="11" t="s">
        <v>158</v>
      </c>
      <c r="F19" s="11" t="s">
        <v>159</v>
      </c>
      <c r="G19" s="11" t="s">
        <v>160</v>
      </c>
      <c r="H19" s="10" t="s">
        <v>65</v>
      </c>
      <c r="I19" s="10" t="s">
        <v>66</v>
      </c>
      <c r="J19" s="10" t="s">
        <v>58</v>
      </c>
    </row>
    <row r="20" customFormat="false" ht="23.25" hidden="false" customHeight="true" outlineLevel="0" collapsed="false">
      <c r="A20" s="8" t="s">
        <v>161</v>
      </c>
      <c r="B20" s="9" t="s">
        <v>131</v>
      </c>
      <c r="C20" s="9" t="s">
        <v>162</v>
      </c>
      <c r="D20" s="9" t="s">
        <v>151</v>
      </c>
      <c r="E20" s="9" t="s">
        <v>163</v>
      </c>
      <c r="F20" s="9" t="s">
        <v>164</v>
      </c>
      <c r="G20" s="9" t="s">
        <v>165</v>
      </c>
      <c r="H20" s="8" t="s">
        <v>65</v>
      </c>
      <c r="I20" s="8" t="s">
        <v>73</v>
      </c>
      <c r="J20" s="8" t="s">
        <v>58</v>
      </c>
    </row>
    <row r="21" customFormat="false" ht="34.5" hidden="false" customHeight="true" outlineLevel="0" collapsed="false">
      <c r="A21" s="10" t="s">
        <v>166</v>
      </c>
      <c r="B21" s="11" t="s">
        <v>131</v>
      </c>
      <c r="C21" s="11" t="s">
        <v>167</v>
      </c>
      <c r="D21" s="11" t="s">
        <v>168</v>
      </c>
      <c r="E21" s="11" t="s">
        <v>169</v>
      </c>
      <c r="F21" s="11" t="s">
        <v>170</v>
      </c>
      <c r="G21" s="11" t="s">
        <v>171</v>
      </c>
      <c r="H21" s="10" t="s">
        <v>65</v>
      </c>
      <c r="I21" s="10" t="s">
        <v>73</v>
      </c>
      <c r="J21" s="10" t="s">
        <v>58</v>
      </c>
    </row>
    <row r="22" customFormat="false" ht="23.25" hidden="false" customHeight="true" outlineLevel="0" collapsed="false">
      <c r="A22" s="8" t="s">
        <v>172</v>
      </c>
      <c r="B22" s="9" t="s">
        <v>131</v>
      </c>
      <c r="C22" s="9" t="s">
        <v>173</v>
      </c>
      <c r="D22" s="9" t="s">
        <v>174</v>
      </c>
      <c r="E22" s="9" t="s">
        <v>175</v>
      </c>
      <c r="F22" s="9" t="s">
        <v>111</v>
      </c>
      <c r="G22" s="9" t="s">
        <v>176</v>
      </c>
      <c r="H22" s="8" t="s">
        <v>65</v>
      </c>
      <c r="I22" s="8" t="s">
        <v>66</v>
      </c>
      <c r="J22" s="8" t="s">
        <v>58</v>
      </c>
    </row>
    <row r="23" customFormat="false" ht="34.5" hidden="false" customHeight="true" outlineLevel="0" collapsed="false">
      <c r="A23" s="10" t="s">
        <v>177</v>
      </c>
      <c r="B23" s="11" t="s">
        <v>131</v>
      </c>
      <c r="C23" s="11" t="s">
        <v>178</v>
      </c>
      <c r="D23" s="11" t="s">
        <v>179</v>
      </c>
      <c r="E23" s="11" t="s">
        <v>180</v>
      </c>
      <c r="F23" s="11" t="s">
        <v>111</v>
      </c>
      <c r="G23" s="11" t="s">
        <v>181</v>
      </c>
      <c r="H23" s="10" t="s">
        <v>65</v>
      </c>
      <c r="I23" s="10" t="s">
        <v>66</v>
      </c>
      <c r="J23" s="10" t="s">
        <v>58</v>
      </c>
    </row>
    <row r="24" customFormat="false" ht="23.25" hidden="false" customHeight="true" outlineLevel="0" collapsed="false">
      <c r="A24" s="8" t="s">
        <v>182</v>
      </c>
      <c r="B24" s="9" t="s">
        <v>131</v>
      </c>
      <c r="C24" s="9" t="s">
        <v>183</v>
      </c>
      <c r="D24" s="9" t="s">
        <v>151</v>
      </c>
      <c r="E24" s="9" t="s">
        <v>184</v>
      </c>
      <c r="F24" s="9" t="s">
        <v>185</v>
      </c>
      <c r="G24" s="9" t="s">
        <v>186</v>
      </c>
      <c r="H24" s="8" t="s">
        <v>56</v>
      </c>
      <c r="I24" s="8" t="s">
        <v>73</v>
      </c>
      <c r="J24" s="8" t="s">
        <v>58</v>
      </c>
    </row>
    <row r="25" customFormat="false" ht="34.5" hidden="false" customHeight="true" outlineLevel="0" collapsed="false">
      <c r="A25" s="10" t="s">
        <v>187</v>
      </c>
      <c r="B25" s="11" t="s">
        <v>131</v>
      </c>
      <c r="C25" s="11" t="s">
        <v>188</v>
      </c>
      <c r="D25" s="11" t="s">
        <v>151</v>
      </c>
      <c r="E25" s="11" t="s">
        <v>189</v>
      </c>
      <c r="F25" s="11" t="s">
        <v>190</v>
      </c>
      <c r="G25" s="11" t="s">
        <v>191</v>
      </c>
      <c r="H25" s="10" t="s">
        <v>56</v>
      </c>
      <c r="I25" s="10" t="s">
        <v>73</v>
      </c>
      <c r="J25" s="10" t="s">
        <v>58</v>
      </c>
    </row>
    <row r="26" customFormat="false" ht="45.75" hidden="false" customHeight="true" outlineLevel="0" collapsed="false">
      <c r="A26" s="8" t="s">
        <v>192</v>
      </c>
      <c r="B26" s="9" t="s">
        <v>193</v>
      </c>
      <c r="C26" s="9" t="s">
        <v>194</v>
      </c>
      <c r="D26" s="9" t="s">
        <v>195</v>
      </c>
      <c r="E26" s="9" t="s">
        <v>196</v>
      </c>
      <c r="F26" s="9" t="s">
        <v>111</v>
      </c>
      <c r="G26" s="9" t="s">
        <v>197</v>
      </c>
      <c r="H26" s="8" t="s">
        <v>56</v>
      </c>
      <c r="I26" s="8" t="s">
        <v>57</v>
      </c>
      <c r="J26" s="8" t="s">
        <v>58</v>
      </c>
    </row>
    <row r="27" customFormat="false" ht="23.25" hidden="false" customHeight="true" outlineLevel="0" collapsed="false">
      <c r="A27" s="10" t="s">
        <v>198</v>
      </c>
      <c r="B27" s="11" t="s">
        <v>193</v>
      </c>
      <c r="C27" s="11" t="s">
        <v>199</v>
      </c>
      <c r="D27" s="11" t="s">
        <v>200</v>
      </c>
      <c r="E27" s="11" t="s">
        <v>201</v>
      </c>
      <c r="F27" s="11" t="s">
        <v>111</v>
      </c>
      <c r="G27" s="11" t="s">
        <v>202</v>
      </c>
      <c r="H27" s="10" t="s">
        <v>56</v>
      </c>
      <c r="I27" s="10" t="s">
        <v>66</v>
      </c>
      <c r="J27" s="10" t="s">
        <v>58</v>
      </c>
    </row>
    <row r="28" customFormat="false" ht="34.5" hidden="false" customHeight="true" outlineLevel="0" collapsed="false">
      <c r="A28" s="8" t="s">
        <v>203</v>
      </c>
      <c r="B28" s="9" t="s">
        <v>193</v>
      </c>
      <c r="C28" s="9" t="s">
        <v>204</v>
      </c>
      <c r="D28" s="9" t="s">
        <v>200</v>
      </c>
      <c r="E28" s="9" t="s">
        <v>205</v>
      </c>
      <c r="F28" s="9" t="s">
        <v>111</v>
      </c>
      <c r="G28" s="9" t="s">
        <v>206</v>
      </c>
      <c r="H28" s="8" t="s">
        <v>56</v>
      </c>
      <c r="I28" s="8" t="s">
        <v>73</v>
      </c>
      <c r="J28" s="8" t="s">
        <v>58</v>
      </c>
    </row>
    <row r="29" customFormat="false" ht="23.25" hidden="false" customHeight="true" outlineLevel="0" collapsed="false">
      <c r="A29" s="10" t="s">
        <v>207</v>
      </c>
      <c r="B29" s="11" t="s">
        <v>193</v>
      </c>
      <c r="C29" s="11" t="s">
        <v>208</v>
      </c>
      <c r="D29" s="11" t="s">
        <v>209</v>
      </c>
      <c r="E29" s="11" t="s">
        <v>210</v>
      </c>
      <c r="F29" s="11" t="s">
        <v>111</v>
      </c>
      <c r="G29" s="11" t="s">
        <v>211</v>
      </c>
      <c r="H29" s="10" t="s">
        <v>56</v>
      </c>
      <c r="I29" s="10" t="s">
        <v>73</v>
      </c>
      <c r="J29" s="10" t="s">
        <v>58</v>
      </c>
    </row>
    <row r="30" customFormat="false" ht="23.25" hidden="false" customHeight="true" outlineLevel="0" collapsed="false">
      <c r="A30" s="8" t="s">
        <v>212</v>
      </c>
      <c r="B30" s="9" t="s">
        <v>193</v>
      </c>
      <c r="C30" s="9" t="s">
        <v>213</v>
      </c>
      <c r="D30" s="9" t="s">
        <v>214</v>
      </c>
      <c r="E30" s="9" t="s">
        <v>215</v>
      </c>
      <c r="F30" s="9" t="s">
        <v>111</v>
      </c>
      <c r="G30" s="9" t="s">
        <v>216</v>
      </c>
      <c r="H30" s="8" t="s">
        <v>56</v>
      </c>
      <c r="I30" s="8" t="s">
        <v>73</v>
      </c>
      <c r="J30" s="8" t="s">
        <v>58</v>
      </c>
    </row>
    <row r="31" customFormat="false" ht="23.25" hidden="false" customHeight="true" outlineLevel="0" collapsed="false">
      <c r="A31" s="10" t="s">
        <v>217</v>
      </c>
      <c r="B31" s="11" t="s">
        <v>193</v>
      </c>
      <c r="C31" s="11" t="s">
        <v>218</v>
      </c>
      <c r="D31" s="11" t="s">
        <v>219</v>
      </c>
      <c r="E31" s="11" t="s">
        <v>220</v>
      </c>
      <c r="F31" s="11" t="s">
        <v>111</v>
      </c>
      <c r="G31" s="11" t="s">
        <v>221</v>
      </c>
      <c r="H31" s="10" t="s">
        <v>65</v>
      </c>
      <c r="I31" s="10" t="s">
        <v>57</v>
      </c>
      <c r="J31" s="10" t="s">
        <v>58</v>
      </c>
    </row>
    <row r="32" customFormat="false" ht="23.25" hidden="false" customHeight="true" outlineLevel="0" collapsed="false">
      <c r="A32" s="8" t="s">
        <v>222</v>
      </c>
      <c r="B32" s="9" t="s">
        <v>29</v>
      </c>
      <c r="C32" s="9" t="s">
        <v>223</v>
      </c>
      <c r="D32" s="9" t="s">
        <v>224</v>
      </c>
      <c r="E32" s="9" t="s">
        <v>225</v>
      </c>
      <c r="F32" s="9" t="s">
        <v>111</v>
      </c>
      <c r="G32" s="9" t="s">
        <v>226</v>
      </c>
      <c r="H32" s="8" t="s">
        <v>56</v>
      </c>
      <c r="I32" s="8" t="s">
        <v>57</v>
      </c>
      <c r="J32" s="8" t="s">
        <v>58</v>
      </c>
    </row>
    <row r="33" customFormat="false" ht="23.25" hidden="false" customHeight="true" outlineLevel="0" collapsed="false">
      <c r="A33" s="10" t="s">
        <v>227</v>
      </c>
      <c r="B33" s="11" t="s">
        <v>29</v>
      </c>
      <c r="C33" s="11" t="s">
        <v>228</v>
      </c>
      <c r="D33" s="11" t="s">
        <v>229</v>
      </c>
      <c r="E33" s="11" t="s">
        <v>230</v>
      </c>
      <c r="F33" s="11" t="s">
        <v>231</v>
      </c>
      <c r="G33" s="11" t="s">
        <v>232</v>
      </c>
      <c r="H33" s="10" t="s">
        <v>56</v>
      </c>
      <c r="I33" s="10" t="s">
        <v>73</v>
      </c>
      <c r="J33" s="10" t="s">
        <v>58</v>
      </c>
    </row>
    <row r="34" customFormat="false" ht="23.25" hidden="false" customHeight="true" outlineLevel="0" collapsed="false">
      <c r="A34" s="8" t="s">
        <v>233</v>
      </c>
      <c r="B34" s="9" t="s">
        <v>29</v>
      </c>
      <c r="C34" s="9" t="s">
        <v>234</v>
      </c>
      <c r="D34" s="9" t="s">
        <v>235</v>
      </c>
      <c r="E34" s="9" t="s">
        <v>236</v>
      </c>
      <c r="F34" s="9" t="s">
        <v>111</v>
      </c>
      <c r="G34" s="9" t="s">
        <v>237</v>
      </c>
      <c r="H34" s="8" t="s">
        <v>56</v>
      </c>
      <c r="I34" s="8" t="s">
        <v>66</v>
      </c>
      <c r="J34" s="8" t="s">
        <v>58</v>
      </c>
    </row>
    <row r="35" customFormat="false" ht="34.5" hidden="false" customHeight="true" outlineLevel="0" collapsed="false">
      <c r="A35" s="10" t="s">
        <v>238</v>
      </c>
      <c r="B35" s="11" t="s">
        <v>29</v>
      </c>
      <c r="C35" s="11" t="s">
        <v>239</v>
      </c>
      <c r="D35" s="11" t="s">
        <v>235</v>
      </c>
      <c r="E35" s="11" t="s">
        <v>240</v>
      </c>
      <c r="F35" s="11" t="s">
        <v>111</v>
      </c>
      <c r="G35" s="11" t="s">
        <v>241</v>
      </c>
      <c r="H35" s="10" t="s">
        <v>56</v>
      </c>
      <c r="I35" s="10" t="s">
        <v>66</v>
      </c>
      <c r="J35" s="10" t="s">
        <v>58</v>
      </c>
    </row>
    <row r="36" customFormat="false" ht="34.5" hidden="false" customHeight="true" outlineLevel="0" collapsed="false">
      <c r="A36" s="8" t="s">
        <v>242</v>
      </c>
      <c r="B36" s="9" t="s">
        <v>29</v>
      </c>
      <c r="C36" s="9" t="s">
        <v>243</v>
      </c>
      <c r="D36" s="9" t="s">
        <v>235</v>
      </c>
      <c r="E36" s="9" t="s">
        <v>244</v>
      </c>
      <c r="F36" s="9" t="s">
        <v>111</v>
      </c>
      <c r="G36" s="9" t="s">
        <v>245</v>
      </c>
      <c r="H36" s="8" t="s">
        <v>56</v>
      </c>
      <c r="I36" s="8" t="s">
        <v>73</v>
      </c>
      <c r="J36" s="8" t="s">
        <v>58</v>
      </c>
    </row>
    <row r="37" customFormat="false" ht="45.75" hidden="false" customHeight="true" outlineLevel="0" collapsed="false">
      <c r="A37" s="10" t="s">
        <v>246</v>
      </c>
      <c r="B37" s="11" t="s">
        <v>247</v>
      </c>
      <c r="C37" s="11" t="s">
        <v>248</v>
      </c>
      <c r="D37" s="11" t="s">
        <v>249</v>
      </c>
      <c r="E37" s="11" t="s">
        <v>250</v>
      </c>
      <c r="F37" s="11" t="s">
        <v>251</v>
      </c>
      <c r="G37" s="11" t="s">
        <v>252</v>
      </c>
      <c r="H37" s="10" t="s">
        <v>56</v>
      </c>
      <c r="I37" s="10" t="s">
        <v>57</v>
      </c>
      <c r="J37" s="10" t="s">
        <v>58</v>
      </c>
    </row>
    <row r="38" customFormat="false" ht="45.75" hidden="false" customHeight="true" outlineLevel="0" collapsed="false">
      <c r="A38" s="8" t="s">
        <v>253</v>
      </c>
      <c r="B38" s="9" t="s">
        <v>247</v>
      </c>
      <c r="C38" s="9" t="s">
        <v>254</v>
      </c>
      <c r="D38" s="9" t="s">
        <v>111</v>
      </c>
      <c r="E38" s="9" t="s">
        <v>255</v>
      </c>
      <c r="F38" s="9" t="s">
        <v>256</v>
      </c>
      <c r="G38" s="9" t="s">
        <v>257</v>
      </c>
      <c r="H38" s="8" t="s">
        <v>56</v>
      </c>
      <c r="I38" s="8" t="s">
        <v>66</v>
      </c>
      <c r="J38" s="8" t="s">
        <v>58</v>
      </c>
    </row>
    <row r="39" customFormat="false" ht="23.25" hidden="false" customHeight="true" outlineLevel="0" collapsed="false">
      <c r="A39" s="10" t="s">
        <v>258</v>
      </c>
      <c r="B39" s="11" t="s">
        <v>247</v>
      </c>
      <c r="C39" s="11" t="s">
        <v>259</v>
      </c>
      <c r="D39" s="11" t="s">
        <v>111</v>
      </c>
      <c r="E39" s="11" t="s">
        <v>260</v>
      </c>
      <c r="F39" s="11" t="s">
        <v>111</v>
      </c>
      <c r="G39" s="11" t="s">
        <v>261</v>
      </c>
      <c r="H39" s="10" t="s">
        <v>65</v>
      </c>
      <c r="I39" s="10" t="s">
        <v>73</v>
      </c>
      <c r="J39" s="10" t="s">
        <v>58</v>
      </c>
    </row>
    <row r="40" customFormat="false" ht="34.5" hidden="false" customHeight="true" outlineLevel="0" collapsed="false">
      <c r="A40" s="8" t="s">
        <v>262</v>
      </c>
      <c r="B40" s="9" t="s">
        <v>247</v>
      </c>
      <c r="C40" s="9" t="s">
        <v>263</v>
      </c>
      <c r="D40" s="9" t="s">
        <v>264</v>
      </c>
      <c r="E40" s="9" t="s">
        <v>265</v>
      </c>
      <c r="F40" s="9" t="s">
        <v>266</v>
      </c>
      <c r="G40" s="9" t="s">
        <v>267</v>
      </c>
      <c r="H40" s="8" t="s">
        <v>65</v>
      </c>
      <c r="I40" s="8" t="s">
        <v>57</v>
      </c>
      <c r="J40" s="8" t="s">
        <v>58</v>
      </c>
    </row>
    <row r="41" customFormat="false" ht="34.5" hidden="false" customHeight="true" outlineLevel="0" collapsed="false">
      <c r="A41" s="10" t="s">
        <v>268</v>
      </c>
      <c r="B41" s="11" t="s">
        <v>269</v>
      </c>
      <c r="C41" s="11" t="s">
        <v>270</v>
      </c>
      <c r="D41" s="11" t="s">
        <v>271</v>
      </c>
      <c r="E41" s="11" t="s">
        <v>272</v>
      </c>
      <c r="F41" s="11" t="s">
        <v>273</v>
      </c>
      <c r="G41" s="11" t="s">
        <v>274</v>
      </c>
      <c r="H41" s="10" t="s">
        <v>56</v>
      </c>
      <c r="I41" s="10" t="s">
        <v>57</v>
      </c>
      <c r="J41" s="10" t="s">
        <v>58</v>
      </c>
    </row>
    <row r="42" customFormat="false" ht="34.5" hidden="false" customHeight="true" outlineLevel="0" collapsed="false">
      <c r="A42" s="8" t="s">
        <v>275</v>
      </c>
      <c r="B42" s="9" t="s">
        <v>269</v>
      </c>
      <c r="C42" s="9" t="s">
        <v>276</v>
      </c>
      <c r="D42" s="9" t="s">
        <v>277</v>
      </c>
      <c r="E42" s="9" t="s">
        <v>278</v>
      </c>
      <c r="F42" s="9" t="s">
        <v>279</v>
      </c>
      <c r="G42" s="9" t="s">
        <v>280</v>
      </c>
      <c r="H42" s="8" t="s">
        <v>56</v>
      </c>
      <c r="I42" s="8" t="s">
        <v>57</v>
      </c>
      <c r="J42" s="8" t="s">
        <v>58</v>
      </c>
    </row>
    <row r="43" customFormat="false" ht="23.25" hidden="false" customHeight="true" outlineLevel="0" collapsed="false">
      <c r="A43" s="10" t="s">
        <v>281</v>
      </c>
      <c r="B43" s="11" t="s">
        <v>269</v>
      </c>
      <c r="C43" s="11" t="s">
        <v>282</v>
      </c>
      <c r="D43" s="11" t="s">
        <v>283</v>
      </c>
      <c r="E43" s="11" t="s">
        <v>284</v>
      </c>
      <c r="F43" s="11" t="s">
        <v>111</v>
      </c>
      <c r="G43" s="11" t="s">
        <v>285</v>
      </c>
      <c r="H43" s="10" t="s">
        <v>65</v>
      </c>
      <c r="I43" s="10" t="s">
        <v>66</v>
      </c>
      <c r="J43" s="10" t="s">
        <v>58</v>
      </c>
    </row>
    <row r="44" customFormat="false" ht="23.25" hidden="false" customHeight="true" outlineLevel="0" collapsed="false">
      <c r="A44" s="8" t="s">
        <v>286</v>
      </c>
      <c r="B44" s="9" t="s">
        <v>269</v>
      </c>
      <c r="C44" s="9" t="s">
        <v>287</v>
      </c>
      <c r="D44" s="9" t="s">
        <v>288</v>
      </c>
      <c r="E44" s="9" t="s">
        <v>289</v>
      </c>
      <c r="F44" s="9" t="s">
        <v>290</v>
      </c>
      <c r="G44" s="9" t="s">
        <v>291</v>
      </c>
      <c r="H44" s="8" t="s">
        <v>65</v>
      </c>
      <c r="I44" s="8" t="s">
        <v>66</v>
      </c>
      <c r="J44" s="8" t="s">
        <v>58</v>
      </c>
    </row>
    <row r="45" customFormat="false" ht="34.5" hidden="false" customHeight="true" outlineLevel="0" collapsed="false">
      <c r="A45" s="10" t="s">
        <v>292</v>
      </c>
      <c r="B45" s="11" t="s">
        <v>269</v>
      </c>
      <c r="C45" s="11" t="s">
        <v>293</v>
      </c>
      <c r="D45" s="11" t="s">
        <v>294</v>
      </c>
      <c r="E45" s="11" t="s">
        <v>295</v>
      </c>
      <c r="F45" s="11" t="s">
        <v>296</v>
      </c>
      <c r="G45" s="11" t="s">
        <v>297</v>
      </c>
      <c r="H45" s="10" t="s">
        <v>56</v>
      </c>
      <c r="I45" s="10" t="s">
        <v>66</v>
      </c>
      <c r="J45" s="10" t="s">
        <v>58</v>
      </c>
    </row>
    <row r="46" customFormat="false" ht="23.25" hidden="false" customHeight="true" outlineLevel="0" collapsed="false">
      <c r="A46" s="8" t="s">
        <v>298</v>
      </c>
      <c r="B46" s="9" t="s">
        <v>269</v>
      </c>
      <c r="C46" s="9" t="s">
        <v>299</v>
      </c>
      <c r="D46" s="9" t="s">
        <v>111</v>
      </c>
      <c r="E46" s="9" t="s">
        <v>300</v>
      </c>
      <c r="F46" s="9" t="s">
        <v>111</v>
      </c>
      <c r="G46" s="9" t="s">
        <v>301</v>
      </c>
      <c r="H46" s="8" t="s">
        <v>65</v>
      </c>
      <c r="I46" s="8" t="s">
        <v>73</v>
      </c>
      <c r="J46" s="8" t="s">
        <v>58</v>
      </c>
    </row>
    <row r="47" customFormat="false" ht="23.25" hidden="false" customHeight="true" outlineLevel="0" collapsed="false">
      <c r="A47" s="10" t="s">
        <v>302</v>
      </c>
      <c r="B47" s="11" t="s">
        <v>269</v>
      </c>
      <c r="C47" s="11" t="s">
        <v>303</v>
      </c>
      <c r="D47" s="11" t="s">
        <v>111</v>
      </c>
      <c r="E47" s="11" t="s">
        <v>304</v>
      </c>
      <c r="F47" s="11" t="s">
        <v>305</v>
      </c>
      <c r="G47" s="11" t="s">
        <v>306</v>
      </c>
      <c r="H47" s="10" t="s">
        <v>307</v>
      </c>
      <c r="I47" s="10" t="s">
        <v>73</v>
      </c>
      <c r="J47" s="10" t="s">
        <v>58</v>
      </c>
    </row>
    <row r="48" customFormat="false" ht="23.25" hidden="false" customHeight="true" outlineLevel="0" collapsed="false">
      <c r="A48" s="8" t="s">
        <v>308</v>
      </c>
      <c r="B48" s="9" t="s">
        <v>269</v>
      </c>
      <c r="C48" s="9" t="s">
        <v>309</v>
      </c>
      <c r="D48" s="9" t="s">
        <v>111</v>
      </c>
      <c r="E48" s="9" t="s">
        <v>310</v>
      </c>
      <c r="F48" s="9" t="s">
        <v>111</v>
      </c>
      <c r="G48" s="9" t="s">
        <v>311</v>
      </c>
      <c r="H48" s="8" t="s">
        <v>65</v>
      </c>
      <c r="I48" s="8" t="s">
        <v>66</v>
      </c>
      <c r="J48" s="8" t="s">
        <v>58</v>
      </c>
    </row>
    <row r="49" customFormat="false" ht="23.25" hidden="false" customHeight="true" outlineLevel="0" collapsed="false">
      <c r="A49" s="10" t="s">
        <v>312</v>
      </c>
      <c r="B49" s="11" t="s">
        <v>269</v>
      </c>
      <c r="C49" s="11" t="s">
        <v>313</v>
      </c>
      <c r="D49" s="11" t="s">
        <v>111</v>
      </c>
      <c r="E49" s="11" t="s">
        <v>314</v>
      </c>
      <c r="F49" s="11" t="s">
        <v>111</v>
      </c>
      <c r="G49" s="11" t="s">
        <v>315</v>
      </c>
      <c r="H49" s="10" t="s">
        <v>65</v>
      </c>
      <c r="I49" s="10" t="s">
        <v>73</v>
      </c>
      <c r="J49" s="10" t="s">
        <v>58</v>
      </c>
    </row>
    <row r="50" customFormat="false" ht="23.25" hidden="false" customHeight="true" outlineLevel="0" collapsed="false">
      <c r="A50" s="8" t="s">
        <v>316</v>
      </c>
      <c r="B50" s="9" t="s">
        <v>35</v>
      </c>
      <c r="C50" s="9" t="s">
        <v>317</v>
      </c>
      <c r="D50" s="9" t="s">
        <v>318</v>
      </c>
      <c r="E50" s="9" t="s">
        <v>319</v>
      </c>
      <c r="F50" s="9" t="s">
        <v>111</v>
      </c>
      <c r="G50" s="9" t="s">
        <v>320</v>
      </c>
      <c r="H50" s="8" t="s">
        <v>56</v>
      </c>
      <c r="I50" s="8" t="s">
        <v>66</v>
      </c>
      <c r="J50" s="8" t="s">
        <v>58</v>
      </c>
    </row>
    <row r="51" customFormat="false" ht="23.25" hidden="false" customHeight="true" outlineLevel="0" collapsed="false">
      <c r="A51" s="10" t="s">
        <v>321</v>
      </c>
      <c r="B51" s="11" t="s">
        <v>35</v>
      </c>
      <c r="C51" s="11" t="s">
        <v>322</v>
      </c>
      <c r="D51" s="11" t="s">
        <v>323</v>
      </c>
      <c r="E51" s="11" t="s">
        <v>324</v>
      </c>
      <c r="F51" s="11" t="s">
        <v>111</v>
      </c>
      <c r="G51" s="11" t="s">
        <v>325</v>
      </c>
      <c r="H51" s="10" t="s">
        <v>307</v>
      </c>
      <c r="I51" s="10" t="s">
        <v>73</v>
      </c>
      <c r="J51" s="10" t="s">
        <v>58</v>
      </c>
    </row>
    <row r="52" customFormat="false" ht="34.5" hidden="false" customHeight="true" outlineLevel="0" collapsed="false">
      <c r="A52" s="8" t="s">
        <v>326</v>
      </c>
      <c r="B52" s="9" t="s">
        <v>327</v>
      </c>
      <c r="C52" s="9" t="s">
        <v>328</v>
      </c>
      <c r="D52" s="9" t="s">
        <v>329</v>
      </c>
      <c r="E52" s="9" t="s">
        <v>330</v>
      </c>
      <c r="F52" s="9" t="s">
        <v>111</v>
      </c>
      <c r="G52" s="9" t="s">
        <v>331</v>
      </c>
      <c r="H52" s="8" t="s">
        <v>56</v>
      </c>
      <c r="I52" s="8" t="s">
        <v>66</v>
      </c>
      <c r="J52" s="8" t="s">
        <v>58</v>
      </c>
    </row>
    <row r="53" customFormat="false" ht="34.5" hidden="false" customHeight="true" outlineLevel="0" collapsed="false">
      <c r="A53" s="10" t="s">
        <v>332</v>
      </c>
      <c r="B53" s="11" t="s">
        <v>37</v>
      </c>
      <c r="C53" s="11" t="s">
        <v>333</v>
      </c>
      <c r="D53" s="11" t="s">
        <v>334</v>
      </c>
      <c r="E53" s="11" t="s">
        <v>335</v>
      </c>
      <c r="F53" s="11" t="s">
        <v>111</v>
      </c>
      <c r="G53" s="11" t="s">
        <v>336</v>
      </c>
      <c r="H53" s="10" t="s">
        <v>56</v>
      </c>
      <c r="I53" s="10" t="s">
        <v>57</v>
      </c>
      <c r="J53" s="10" t="s">
        <v>58</v>
      </c>
    </row>
    <row r="54" customFormat="false" ht="23.25" hidden="false" customHeight="true" outlineLevel="0" collapsed="false">
      <c r="A54" s="8" t="s">
        <v>337</v>
      </c>
      <c r="B54" s="9" t="s">
        <v>37</v>
      </c>
      <c r="C54" s="9" t="s">
        <v>338</v>
      </c>
      <c r="D54" s="9" t="s">
        <v>151</v>
      </c>
      <c r="E54" s="9" t="s">
        <v>339</v>
      </c>
      <c r="F54" s="9" t="s">
        <v>111</v>
      </c>
      <c r="G54" s="9" t="s">
        <v>340</v>
      </c>
      <c r="H54" s="8" t="s">
        <v>56</v>
      </c>
      <c r="I54" s="8" t="s">
        <v>73</v>
      </c>
      <c r="J54" s="8" t="s">
        <v>58</v>
      </c>
    </row>
  </sheetData>
  <autoFilter ref="A1:J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4"/>
  </cols>
  <sheetData>
    <row r="1" customFormat="false" ht="30" hidden="false" customHeight="true" outlineLevel="0" collapsed="false">
      <c r="A1" s="12" t="s">
        <v>341</v>
      </c>
      <c r="B1" s="12"/>
      <c r="C1" s="12"/>
      <c r="D1" s="12"/>
      <c r="E1" s="12"/>
    </row>
    <row r="3" customFormat="false" ht="21.75" hidden="false" customHeight="true" outlineLevel="0" collapsed="false">
      <c r="A3" s="5" t="s">
        <v>342</v>
      </c>
      <c r="B3" s="5"/>
      <c r="C3" s="5"/>
      <c r="D3" s="5"/>
      <c r="E3" s="5"/>
    </row>
    <row r="4" customFormat="false" ht="15" hidden="false" customHeight="true" outlineLevel="0" collapsed="false">
      <c r="A4" s="7" t="s">
        <v>48</v>
      </c>
      <c r="B4" s="7" t="s">
        <v>343</v>
      </c>
      <c r="C4" s="7" t="s">
        <v>344</v>
      </c>
    </row>
    <row r="5" customFormat="false" ht="15" hidden="false" customHeight="true" outlineLevel="0" collapsed="false">
      <c r="A5" s="4" t="s">
        <v>58</v>
      </c>
      <c r="B5" s="13" t="n">
        <f aca="false">COUNTIF('Test Cases'!J:J,A5)</f>
        <v>53</v>
      </c>
      <c r="C5" s="14" t="n">
        <f aca="false">IFERROR(B5/B9,0)</f>
        <v>1</v>
      </c>
    </row>
    <row r="6" customFormat="false" ht="15" hidden="false" customHeight="true" outlineLevel="0" collapsed="false">
      <c r="A6" s="4" t="s">
        <v>345</v>
      </c>
      <c r="B6" s="13" t="n">
        <f aca="false">COUNTIF('Test Cases'!J:J,A6)</f>
        <v>0</v>
      </c>
      <c r="C6" s="14" t="n">
        <f aca="false">IFERROR(B6/B9,0)</f>
        <v>0</v>
      </c>
    </row>
    <row r="7" customFormat="false" ht="15" hidden="false" customHeight="true" outlineLevel="0" collapsed="false">
      <c r="A7" s="4" t="s">
        <v>346</v>
      </c>
      <c r="B7" s="13" t="n">
        <f aca="false">COUNTIF('Test Cases'!J:J,A7)</f>
        <v>0</v>
      </c>
      <c r="C7" s="14" t="n">
        <f aca="false">IFERROR(B7/B9,0)</f>
        <v>0</v>
      </c>
    </row>
    <row r="8" customFormat="false" ht="15" hidden="false" customHeight="true" outlineLevel="0" collapsed="false">
      <c r="A8" s="4" t="s">
        <v>347</v>
      </c>
      <c r="B8" s="13" t="n">
        <f aca="false">COUNTIF('Test Cases'!J:J,A8)</f>
        <v>0</v>
      </c>
      <c r="C8" s="14" t="n">
        <f aca="false">IFERROR(B8/B9,0)</f>
        <v>0</v>
      </c>
    </row>
    <row r="9" customFormat="false" ht="15" hidden="false" customHeight="true" outlineLevel="0" collapsed="false">
      <c r="A9" s="15" t="s">
        <v>348</v>
      </c>
      <c r="B9" s="15" t="n">
        <f aca="false">SUM(B5:B8)</f>
        <v>53</v>
      </c>
      <c r="C9" s="16" t="n">
        <f aca="false">SUM(C5:C8)</f>
        <v>1</v>
      </c>
    </row>
    <row r="11" customFormat="false" ht="21.75" hidden="false" customHeight="true" outlineLevel="0" collapsed="false">
      <c r="A11" s="17" t="s">
        <v>349</v>
      </c>
      <c r="B11" s="17"/>
      <c r="C11" s="17"/>
      <c r="D11" s="17"/>
      <c r="E11" s="17"/>
    </row>
    <row r="12" customFormat="false" ht="15" hidden="false" customHeight="true" outlineLevel="0" collapsed="false">
      <c r="A12" s="18" t="s">
        <v>47</v>
      </c>
      <c r="B12" s="18" t="s">
        <v>343</v>
      </c>
      <c r="C12" s="18" t="s">
        <v>344</v>
      </c>
    </row>
    <row r="13" customFormat="false" ht="15" hidden="false" customHeight="true" outlineLevel="0" collapsed="false">
      <c r="A13" s="4" t="s">
        <v>57</v>
      </c>
      <c r="B13" s="13" t="n">
        <f aca="false">COUNTIF('Test Cases'!I:I,A13)</f>
        <v>13</v>
      </c>
      <c r="C13" s="14" t="n">
        <f aca="false">IFERROR(B13/B16,0)</f>
        <v>0.245283018867925</v>
      </c>
    </row>
    <row r="14" customFormat="false" ht="15" hidden="false" customHeight="true" outlineLevel="0" collapsed="false">
      <c r="A14" s="4" t="s">
        <v>66</v>
      </c>
      <c r="B14" s="13" t="n">
        <f aca="false">COUNTIF('Test Cases'!I:I,A14)</f>
        <v>21</v>
      </c>
      <c r="C14" s="14" t="n">
        <f aca="false">IFERROR(B14/B16,0)</f>
        <v>0.39622641509434</v>
      </c>
    </row>
    <row r="15" customFormat="false" ht="15" hidden="false" customHeight="true" outlineLevel="0" collapsed="false">
      <c r="A15" s="4" t="s">
        <v>73</v>
      </c>
      <c r="B15" s="13" t="n">
        <f aca="false">COUNTIF('Test Cases'!I:I,A15)</f>
        <v>19</v>
      </c>
      <c r="C15" s="14" t="n">
        <f aca="false">IFERROR(B15/B16,0)</f>
        <v>0.358490566037736</v>
      </c>
    </row>
    <row r="16" customFormat="false" ht="15" hidden="false" customHeight="true" outlineLevel="0" collapsed="false">
      <c r="A16" s="15" t="s">
        <v>348</v>
      </c>
      <c r="B16" s="15" t="n">
        <f aca="false">SUM(B13:B15)</f>
        <v>53</v>
      </c>
      <c r="C16" s="16" t="n">
        <f aca="false">SUM(C13:C15)</f>
        <v>1</v>
      </c>
    </row>
    <row r="18" customFormat="false" ht="21.75" hidden="false" customHeight="true" outlineLevel="0" collapsed="false">
      <c r="A18" s="5" t="s">
        <v>350</v>
      </c>
      <c r="B18" s="5"/>
      <c r="C18" s="5"/>
      <c r="D18" s="5"/>
      <c r="E18" s="5"/>
    </row>
    <row r="19" customFormat="false" ht="15" hidden="false" customHeight="true" outlineLevel="0" collapsed="false">
      <c r="A19" s="7" t="s">
        <v>46</v>
      </c>
      <c r="B19" s="7" t="s">
        <v>343</v>
      </c>
      <c r="C19" s="7" t="s">
        <v>344</v>
      </c>
    </row>
    <row r="20" customFormat="false" ht="15" hidden="false" customHeight="true" outlineLevel="0" collapsed="false">
      <c r="A20" s="4" t="s">
        <v>56</v>
      </c>
      <c r="B20" s="13" t="n">
        <f aca="false">COUNTIF('Test Cases'!H:H,A20)</f>
        <v>29</v>
      </c>
      <c r="C20" s="14" t="n">
        <f aca="false">IFERROR(B20/B23,0)</f>
        <v>0.547169811320755</v>
      </c>
    </row>
    <row r="21" customFormat="false" ht="15" hidden="false" customHeight="true" outlineLevel="0" collapsed="false">
      <c r="A21" s="4" t="s">
        <v>65</v>
      </c>
      <c r="B21" s="13" t="n">
        <f aca="false">COUNTIF('Test Cases'!H:H,A21)</f>
        <v>22</v>
      </c>
      <c r="C21" s="14" t="n">
        <f aca="false">IFERROR(B21/B23,0)</f>
        <v>0.415094339622642</v>
      </c>
    </row>
    <row r="22" customFormat="false" ht="15" hidden="false" customHeight="true" outlineLevel="0" collapsed="false">
      <c r="A22" s="4" t="s">
        <v>307</v>
      </c>
      <c r="B22" s="13" t="n">
        <f aca="false">COUNTIF('Test Cases'!H:H,A22)</f>
        <v>2</v>
      </c>
      <c r="C22" s="14" t="n">
        <f aca="false">IFERROR(B22/B23,0)</f>
        <v>0.0377358490566038</v>
      </c>
    </row>
    <row r="23" customFormat="false" ht="15" hidden="false" customHeight="true" outlineLevel="0" collapsed="false">
      <c r="A23" s="15" t="s">
        <v>348</v>
      </c>
      <c r="B23" s="15" t="n">
        <f aca="false">SUM(B20:B22)</f>
        <v>53</v>
      </c>
      <c r="C23" s="16" t="n">
        <f aca="false">SUM(C20:C22)</f>
        <v>1</v>
      </c>
    </row>
  </sheetData>
  <mergeCells count="4">
    <mergeCell ref="A1:E1"/>
    <mergeCell ref="A3:E3"/>
    <mergeCell ref="A11:E11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2026-04-30T13:27:25Z</dcterms:created>
  <dc:creator>openpyxl</dc:creator>
  <dc:description/>
  <dc:language>en-US</dc:language>
  <cp:lastModifiedBy/>
  <dcterms:modified xsi:type="dcterms:W3CDTF">2026-04-30T13:27:54Z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